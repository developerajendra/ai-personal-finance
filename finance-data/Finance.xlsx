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endraprasad/Downloads/"/>
    </mc:Choice>
  </mc:AlternateContent>
  <xr:revisionPtr revIDLastSave="0" documentId="13_ncr:1_{A54FF683-5C5A-7948-997D-D8BB07275219}" xr6:coauthVersionLast="36" xr6:coauthVersionMax="36" xr10:uidLastSave="{00000000-0000-0000-0000-000000000000}"/>
  <bookViews>
    <workbookView xWindow="0" yWindow="760" windowWidth="34560" windowHeight="20400" xr2:uid="{00000000-000D-0000-FFFF-FFFF00000000}"/>
  </bookViews>
  <sheets>
    <sheet name="my finance" sheetId="6" r:id="rId1"/>
  </sheets>
  <calcPr calcId="181029"/>
</workbook>
</file>

<file path=xl/calcChain.xml><?xml version="1.0" encoding="utf-8"?>
<calcChain xmlns="http://schemas.openxmlformats.org/spreadsheetml/2006/main">
  <c r="C27" i="6" l="1"/>
  <c r="C26" i="6"/>
  <c r="C22" i="6"/>
  <c r="C21" i="6"/>
  <c r="C20" i="6"/>
  <c r="C19" i="6"/>
  <c r="C17" i="6"/>
  <c r="C16" i="6"/>
  <c r="C14" i="6"/>
  <c r="C13" i="6"/>
  <c r="C12" i="6"/>
  <c r="B11" i="6"/>
  <c r="C11" i="6" s="1"/>
  <c r="C9" i="6"/>
  <c r="C8" i="6"/>
  <c r="O7" i="6"/>
  <c r="N7" i="6"/>
  <c r="N8" i="6" s="1"/>
  <c r="B10" i="6" s="1"/>
  <c r="C10" i="6" s="1"/>
  <c r="K7" i="6"/>
  <c r="B7" i="6" s="1"/>
  <c r="D7" i="6" s="1"/>
  <c r="D29" i="6" s="1"/>
  <c r="C6" i="6"/>
  <c r="E5" i="6"/>
  <c r="E3" i="6"/>
  <c r="E2" i="6"/>
  <c r="C29" i="6" l="1"/>
  <c r="F33" i="6" s="1"/>
  <c r="F34" i="6" s="1"/>
  <c r="F38" i="6" l="1"/>
  <c r="F3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500-000001000000}">
      <text>
        <r>
          <rPr>
            <sz val="10"/>
            <color rgb="FF000000"/>
            <rFont val="Arial"/>
          </rPr>
          <t>10k interest received by april 2025
which cover from (Jan 2024 to Jan 2025 - 250 is extra)
	-Raj An</t>
        </r>
      </text>
    </comment>
  </commentList>
</comments>
</file>

<file path=xl/sharedStrings.xml><?xml version="1.0" encoding="utf-8"?>
<sst xmlns="http://schemas.openxmlformats.org/spreadsheetml/2006/main" count="90" uniqueCount="79">
  <si>
    <t>Date</t>
  </si>
  <si>
    <t>Amount</t>
  </si>
  <si>
    <t>Currency</t>
  </si>
  <si>
    <t>Remarks</t>
  </si>
  <si>
    <t>NC</t>
  </si>
  <si>
    <t>IC</t>
  </si>
  <si>
    <t>Status</t>
  </si>
  <si>
    <t>Entity</t>
  </si>
  <si>
    <t>Debit IC</t>
  </si>
  <si>
    <t>Debit NC</t>
  </si>
  <si>
    <t>Credit</t>
  </si>
  <si>
    <t>YTD Value</t>
  </si>
  <si>
    <t>Start Date</t>
  </si>
  <si>
    <t>Maturity Date</t>
  </si>
  <si>
    <t>Agricultural Development Bank</t>
  </si>
  <si>
    <t>5x in 12 Years</t>
  </si>
  <si>
    <t>Kumari Bank</t>
  </si>
  <si>
    <t>4x in 14 Years</t>
  </si>
  <si>
    <t>Labels</t>
  </si>
  <si>
    <t>Value</t>
  </si>
  <si>
    <t xml:space="preserve">EPFO </t>
  </si>
  <si>
    <t>Himal + Vishal</t>
  </si>
  <si>
    <t xml:space="preserve">12% interest </t>
  </si>
  <si>
    <t>6-sept-2025</t>
  </si>
  <si>
    <t>Original Loan Amount</t>
  </si>
  <si>
    <t>Employee share</t>
  </si>
  <si>
    <t>shine reaunga Bank</t>
  </si>
  <si>
    <t>Kushum</t>
  </si>
  <si>
    <t>Kushum 2x In 6 Year</t>
  </si>
  <si>
    <t>Fixed Monthly Payment</t>
  </si>
  <si>
    <t>Employer share</t>
  </si>
  <si>
    <t>Hari Mazara</t>
  </si>
  <si>
    <t xml:space="preserve"> 2,400 Per Month</t>
  </si>
  <si>
    <t>Installment Start Date</t>
  </si>
  <si>
    <t>Pension Contributation</t>
  </si>
  <si>
    <t>House Loan</t>
  </si>
  <si>
    <t>Remaining Balance:</t>
  </si>
  <si>
    <t>Total</t>
  </si>
  <si>
    <t>PPF</t>
  </si>
  <si>
    <t>Grand Total</t>
  </si>
  <si>
    <t>Kushum PPF</t>
  </si>
  <si>
    <t>PF</t>
  </si>
  <si>
    <t>Pension</t>
  </si>
  <si>
    <t>NPS</t>
  </si>
  <si>
    <t>Stock + Mutual Fund</t>
  </si>
  <si>
    <t>Kushum Stock + Mutual Fund</t>
  </si>
  <si>
    <t>Nepal Account</t>
  </si>
  <si>
    <t>Hosue Noida</t>
  </si>
  <si>
    <t>TTN ESOP</t>
  </si>
  <si>
    <t>Nepal Plot</t>
  </si>
  <si>
    <t>FD Small Finacne</t>
  </si>
  <si>
    <t>FD UTI Bank</t>
  </si>
  <si>
    <t>Small finance interest</t>
  </si>
  <si>
    <t>Bhanja</t>
  </si>
  <si>
    <t>NC Given on 15th of April</t>
  </si>
  <si>
    <t>Shova</t>
  </si>
  <si>
    <t>Durga</t>
  </si>
  <si>
    <t>In Hand Rajan</t>
  </si>
  <si>
    <t>In Hand Kushum</t>
  </si>
  <si>
    <t>Gold</t>
  </si>
  <si>
    <t xml:space="preserve">Fixced Asset </t>
  </si>
  <si>
    <t xml:space="preserve">Liquid Asset </t>
  </si>
  <si>
    <t>This needs to reach to 3cr in the end of 2025</t>
  </si>
  <si>
    <t>This needs to reach 2 cr end of 2025</t>
  </si>
  <si>
    <t>Next Investment Plan</t>
  </si>
  <si>
    <t>Type</t>
  </si>
  <si>
    <t>Rate</t>
  </si>
  <si>
    <t>FD</t>
  </si>
  <si>
    <t>Small Finance</t>
  </si>
  <si>
    <t>1st-June-2025</t>
  </si>
  <si>
    <t>IDBI</t>
  </si>
  <si>
    <t>1st-July-2025</t>
  </si>
  <si>
    <t>Done</t>
  </si>
  <si>
    <t>Mutual Fund + Stuck</t>
  </si>
  <si>
    <t>-</t>
  </si>
  <si>
    <t>1st-Nov-2025</t>
  </si>
  <si>
    <t>Other</t>
  </si>
  <si>
    <t>TBD</t>
  </si>
  <si>
    <t>1st-Dec-2025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</si>
</sst>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mmm\ d\ yy"/>
  </numFmts>
  <fonts count="8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rgb="FFFFFFFF"/>
      <name val="Roboto"/>
    </font>
    <font>
      <sz val="10"/>
      <color rgb="FF434343"/>
      <name val="Roboto"/>
    </font>
    <font>
      <b/>
      <sz val="10"/>
      <color rgb="FFFFFFFF"/>
      <name val="Roboto"/>
    </font>
    <font>
      <b/>
      <sz val="10"/>
      <color rgb="FF434343"/>
      <name val="Roboto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7" fontId="1" fillId="0" borderId="0" xfId="0" applyNumberFormat="1" applyFont="1" applyAlignment="1">
      <alignment horizontal="left" wrapText="1"/>
    </xf>
    <xf numFmtId="0" fontId="4" fillId="0" borderId="0" xfId="0" applyFont="1" applyAlignment="1">
      <alignment vertical="center"/>
    </xf>
    <xf numFmtId="15" fontId="4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1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2" fillId="6" borderId="2" xfId="0" applyFont="1" applyFill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Finance +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inance +-style 2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inance +-style 3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_2" displayName="Table1_2" ref="A1:H28">
  <tableColumns count="8">
    <tableColumn id="1" xr3:uid="{00000000-0010-0000-0000-000001000000}" name="Entity"/>
    <tableColumn id="2" xr3:uid="{00000000-0010-0000-0000-000002000000}" name="Debit IC"/>
    <tableColumn id="3" xr3:uid="{00000000-0010-0000-0000-000003000000}" name="Debit NC"/>
    <tableColumn id="4" xr3:uid="{00000000-0010-0000-0000-000004000000}" name="Credit"/>
    <tableColumn id="5" xr3:uid="{00000000-0010-0000-0000-000005000000}" name="YTD Value"/>
    <tableColumn id="6" xr3:uid="{00000000-0010-0000-0000-000006000000}" name="Remarks"/>
    <tableColumn id="7" xr3:uid="{00000000-0010-0000-0000-000007000000}" name="Start Date"/>
    <tableColumn id="8" xr3:uid="{00000000-0010-0000-0000-000008000000}" name="Maturity Date"/>
  </tableColumns>
  <tableStyleInfo name="Finance +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ouse_Loan_Details" displayName="House_Loan_Details" ref="J3:K7">
  <tableColumns count="2">
    <tableColumn id="1" xr3:uid="{00000000-0010-0000-0100-000001000000}" name="Labels"/>
    <tableColumn id="2" xr3:uid="{00000000-0010-0000-0100-000002000000}" name="Value"/>
  </tableColumns>
  <tableStyleInfo name="Finance +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ture_Investment_Plan" displayName="Future_Investment_Plan" ref="B42:G46">
  <tableColumns count="6">
    <tableColumn id="1" xr3:uid="{00000000-0010-0000-0200-000001000000}" name="Next Investment Plan"/>
    <tableColumn id="2" xr3:uid="{00000000-0010-0000-0200-000002000000}" name="Amount"/>
    <tableColumn id="3" xr3:uid="{00000000-0010-0000-0200-000003000000}" name="Type"/>
    <tableColumn id="4" xr3:uid="{00000000-0010-0000-0200-000004000000}" name="Rate"/>
    <tableColumn id="5" xr3:uid="{00000000-0010-0000-0200-000005000000}" name="Date"/>
    <tableColumn id="6" xr3:uid="{00000000-0010-0000-0200-000006000000}" name="Status"/>
  </tableColumns>
  <tableStyleInfo name="Finance +-style 3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13"/>
  <sheetViews>
    <sheetView tabSelected="1" workbookViewId="0">
      <pane ySplit="1" topLeftCell="A2" activePane="bottomLeft" state="frozen"/>
      <selection pane="bottomLeft" activeCell="L18" sqref="L18"/>
    </sheetView>
  </sheetViews>
  <sheetFormatPr baseColWidth="10" defaultColWidth="15.1640625" defaultRowHeight="15.75" customHeight="1"/>
  <cols>
    <col min="1" max="1" width="25" customWidth="1"/>
    <col min="2" max="2" width="15.83203125" customWidth="1"/>
    <col min="6" max="6" width="30.6640625" customWidth="1"/>
    <col min="7" max="8" width="21.6640625" customWidth="1"/>
    <col min="9" max="9" width="18.6640625" customWidth="1"/>
    <col min="10" max="10" width="21.33203125" customWidth="1"/>
    <col min="11" max="11" width="15.83203125" customWidth="1"/>
  </cols>
  <sheetData>
    <row r="1" spans="1:26" ht="22.5" customHeight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3</v>
      </c>
      <c r="G1" s="5" t="s">
        <v>12</v>
      </c>
      <c r="H1" s="4" t="s">
        <v>13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6" t="s">
        <v>14</v>
      </c>
      <c r="B2" s="7"/>
      <c r="C2" s="7">
        <v>1000000</v>
      </c>
      <c r="D2" s="8"/>
      <c r="E2" s="8">
        <f ca="1">C2 * POWER(5, 1/12) ^ MIN(YEAR(TODAY()) - G2, 13)</f>
        <v>1709975.9466766964</v>
      </c>
      <c r="F2" s="6" t="s">
        <v>15</v>
      </c>
      <c r="G2" s="6">
        <v>2022</v>
      </c>
      <c r="H2" s="6">
        <v>2034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6" t="s">
        <v>16</v>
      </c>
      <c r="B3" s="7"/>
      <c r="C3" s="7">
        <v>1000000</v>
      </c>
      <c r="D3" s="8"/>
      <c r="E3" s="8">
        <f ca="1">C3 * POWER(4, 1/14) ^ MIN(YEAR(TODAY()) - G3, 15)</f>
        <v>1485994.2891369478</v>
      </c>
      <c r="F3" s="6" t="s">
        <v>17</v>
      </c>
      <c r="G3" s="6">
        <v>2022</v>
      </c>
      <c r="H3" s="6">
        <v>2036</v>
      </c>
      <c r="J3" s="9" t="s">
        <v>18</v>
      </c>
      <c r="K3" s="9" t="s">
        <v>19</v>
      </c>
      <c r="M3" s="2" t="s">
        <v>20</v>
      </c>
      <c r="N3" s="10">
        <v>46022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6" t="s">
        <v>21</v>
      </c>
      <c r="B4" s="7"/>
      <c r="C4" s="7">
        <v>1000000</v>
      </c>
      <c r="D4" s="6"/>
      <c r="E4" s="8"/>
      <c r="F4" s="6" t="s">
        <v>22</v>
      </c>
      <c r="G4" s="6" t="s">
        <v>23</v>
      </c>
      <c r="H4" s="6"/>
      <c r="I4" s="1"/>
      <c r="J4" s="11" t="s">
        <v>24</v>
      </c>
      <c r="K4" s="11">
        <v>2311386</v>
      </c>
      <c r="L4" s="1"/>
      <c r="M4" s="2" t="s">
        <v>25</v>
      </c>
      <c r="N4" s="2">
        <v>1234920</v>
      </c>
      <c r="O4" s="2">
        <v>385038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6" t="s">
        <v>26</v>
      </c>
      <c r="B5" s="7"/>
      <c r="C5" s="7">
        <v>500000</v>
      </c>
      <c r="D5" s="6" t="s">
        <v>27</v>
      </c>
      <c r="E5" s="8">
        <f ca="1">500000 * POWER(2, 1/6) ^ MIN(YEAR(TODAY()) - 2022, 6)</f>
        <v>793700.52598409983</v>
      </c>
      <c r="F5" s="6" t="s">
        <v>28</v>
      </c>
      <c r="G5" s="6">
        <v>2022</v>
      </c>
      <c r="H5" s="6">
        <v>2027</v>
      </c>
      <c r="I5" s="1"/>
      <c r="J5" s="11" t="s">
        <v>29</v>
      </c>
      <c r="K5" s="11">
        <v>28597</v>
      </c>
      <c r="L5" s="1"/>
      <c r="M5" s="2" t="s">
        <v>30</v>
      </c>
      <c r="N5" s="2">
        <v>1042624</v>
      </c>
      <c r="O5" s="2">
        <v>251693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6" t="s">
        <v>31</v>
      </c>
      <c r="B6" s="7">
        <v>50000</v>
      </c>
      <c r="C6" s="7">
        <f>B6*1.6</f>
        <v>80000</v>
      </c>
      <c r="D6" s="6"/>
      <c r="E6" s="8"/>
      <c r="F6" s="6" t="s">
        <v>32</v>
      </c>
      <c r="G6" s="6"/>
      <c r="H6" s="6"/>
      <c r="J6" s="11" t="s">
        <v>33</v>
      </c>
      <c r="K6" s="12">
        <v>45753</v>
      </c>
      <c r="M6" s="3" t="s">
        <v>34</v>
      </c>
      <c r="N6" s="3">
        <v>108709</v>
      </c>
      <c r="O6" s="2">
        <v>42319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13" t="s">
        <v>35</v>
      </c>
      <c r="B7" s="13">
        <f ca="1">K7</f>
        <v>2054013</v>
      </c>
      <c r="C7" s="14"/>
      <c r="D7" s="13">
        <f ca="1">B7*1.6</f>
        <v>3286420.8000000003</v>
      </c>
      <c r="E7" s="15"/>
      <c r="F7" s="15"/>
      <c r="G7" s="15"/>
      <c r="H7" s="15"/>
      <c r="J7" s="16" t="s">
        <v>36</v>
      </c>
      <c r="K7" s="17">
        <f ca="1">K4 - (((YEAR(TODAY())-YEAR(K6))*12 + MONTH(TODAY())-MONTH(K6) + IF(DAY(TODAY())&gt;=DAY(K6),1,0)) * K5)</f>
        <v>2054013</v>
      </c>
      <c r="M7" s="3" t="s">
        <v>37</v>
      </c>
      <c r="N7">
        <f t="shared" ref="N7:O7" si="0">SUM(N4:N6)</f>
        <v>2386253</v>
      </c>
      <c r="O7" s="1">
        <f t="shared" si="0"/>
        <v>679050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6" t="s">
        <v>38</v>
      </c>
      <c r="B8" s="7">
        <v>1233300</v>
      </c>
      <c r="C8" s="7">
        <f t="shared" ref="C8:C14" si="1">B8*1.6</f>
        <v>1973280</v>
      </c>
      <c r="D8" s="8"/>
      <c r="E8" s="8"/>
      <c r="F8" s="8"/>
      <c r="G8" s="8"/>
      <c r="H8" s="8"/>
      <c r="M8" s="3" t="s">
        <v>39</v>
      </c>
      <c r="N8">
        <f>SUM(N7:O7)</f>
        <v>3065303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6" t="s">
        <v>40</v>
      </c>
      <c r="B9" s="7">
        <v>222000</v>
      </c>
      <c r="C9" s="7">
        <f t="shared" si="1"/>
        <v>355200</v>
      </c>
      <c r="D9" s="8"/>
      <c r="E9" s="8"/>
      <c r="F9" s="8"/>
      <c r="G9" s="8"/>
      <c r="H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6" t="s">
        <v>41</v>
      </c>
      <c r="B10" s="7">
        <f>N8</f>
        <v>3065303</v>
      </c>
      <c r="C10" s="7">
        <f t="shared" si="1"/>
        <v>4904484.8</v>
      </c>
      <c r="D10" s="8"/>
      <c r="E10" s="8"/>
      <c r="F10" s="8"/>
      <c r="G10" s="8"/>
      <c r="H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6" t="s">
        <v>42</v>
      </c>
      <c r="B11" s="7">
        <f>SUM(104959+42319)</f>
        <v>147278</v>
      </c>
      <c r="C11" s="7">
        <f t="shared" si="1"/>
        <v>235644.80000000002</v>
      </c>
      <c r="D11" s="8"/>
      <c r="E11" s="8"/>
      <c r="F11" s="8"/>
      <c r="G11" s="8"/>
      <c r="H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6" t="s">
        <v>43</v>
      </c>
      <c r="B12" s="7">
        <v>230000</v>
      </c>
      <c r="C12" s="7">
        <f t="shared" si="1"/>
        <v>368000</v>
      </c>
      <c r="D12" s="8"/>
      <c r="E12" s="8"/>
      <c r="F12" s="6"/>
      <c r="G12" s="6"/>
      <c r="H12" s="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6" t="s">
        <v>44</v>
      </c>
      <c r="B13" s="7">
        <v>6422600</v>
      </c>
      <c r="C13" s="7">
        <f t="shared" si="1"/>
        <v>10276160</v>
      </c>
      <c r="D13" s="8"/>
      <c r="E13" s="8"/>
      <c r="F13" s="8"/>
      <c r="G13" s="8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6" t="s">
        <v>45</v>
      </c>
      <c r="B14" s="18">
        <v>550000</v>
      </c>
      <c r="C14" s="18">
        <f t="shared" si="1"/>
        <v>880000</v>
      </c>
      <c r="D14" s="8"/>
      <c r="E14" s="8"/>
      <c r="F14" s="6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6" t="s">
        <v>46</v>
      </c>
      <c r="B15" s="18"/>
      <c r="C15" s="18"/>
      <c r="D15" s="8"/>
      <c r="E15" s="8"/>
      <c r="F15" s="6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9" t="s">
        <v>47</v>
      </c>
      <c r="B16" s="20">
        <v>9000000</v>
      </c>
      <c r="C16" s="20">
        <f t="shared" ref="C16:C17" si="2">B16*1.6</f>
        <v>14400000</v>
      </c>
      <c r="D16" s="21"/>
      <c r="E16" s="21"/>
      <c r="F16" s="21"/>
      <c r="G16" s="21"/>
      <c r="H16" s="2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6" t="s">
        <v>48</v>
      </c>
      <c r="B17" s="7">
        <v>2592823.83</v>
      </c>
      <c r="C17" s="7">
        <f t="shared" si="2"/>
        <v>4148518.1280000005</v>
      </c>
      <c r="D17" s="8"/>
      <c r="E17" s="8"/>
      <c r="F17" s="8"/>
      <c r="G17" s="8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9" t="s">
        <v>49</v>
      </c>
      <c r="B18" s="20"/>
      <c r="C18" s="20">
        <v>5000000</v>
      </c>
      <c r="D18" s="21"/>
      <c r="E18" s="21"/>
      <c r="F18" s="21"/>
      <c r="G18" s="21"/>
      <c r="H18" s="2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6" t="s">
        <v>50</v>
      </c>
      <c r="B19" s="7">
        <v>400000</v>
      </c>
      <c r="C19" s="7">
        <f t="shared" ref="C19:C22" si="3">B19*1.6</f>
        <v>640000</v>
      </c>
      <c r="D19" s="8"/>
      <c r="E19" s="8"/>
      <c r="F19" s="8"/>
      <c r="G19" s="8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6" t="s">
        <v>51</v>
      </c>
      <c r="B20" s="7">
        <v>250000</v>
      </c>
      <c r="C20" s="7">
        <f t="shared" si="3"/>
        <v>400000</v>
      </c>
      <c r="D20" s="8"/>
      <c r="E20" s="8"/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6" t="s">
        <v>50</v>
      </c>
      <c r="B21" s="7">
        <v>650000</v>
      </c>
      <c r="C21" s="7">
        <f t="shared" si="3"/>
        <v>1040000</v>
      </c>
      <c r="D21" s="8"/>
      <c r="E21" s="8"/>
      <c r="F21" s="8"/>
      <c r="G21" s="8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6" t="s">
        <v>52</v>
      </c>
      <c r="B22" s="7">
        <v>30000</v>
      </c>
      <c r="C22" s="7">
        <f t="shared" si="3"/>
        <v>48000</v>
      </c>
      <c r="D22" s="8"/>
      <c r="E22" s="8"/>
      <c r="F22" s="8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6" t="s">
        <v>53</v>
      </c>
      <c r="B23" s="22"/>
      <c r="C23" s="7">
        <v>100000</v>
      </c>
      <c r="D23" s="8"/>
      <c r="E23" s="8"/>
      <c r="F23" s="6" t="s">
        <v>54</v>
      </c>
      <c r="G23" s="8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6" t="s">
        <v>55</v>
      </c>
      <c r="B24" s="7"/>
      <c r="C24" s="7">
        <v>50000</v>
      </c>
      <c r="D24" s="8"/>
      <c r="E24" s="8"/>
      <c r="F24" s="8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6" t="s">
        <v>56</v>
      </c>
      <c r="B25" s="7"/>
      <c r="C25" s="7">
        <v>24400</v>
      </c>
      <c r="D25" s="8"/>
      <c r="E25" s="8"/>
      <c r="F25" s="6"/>
      <c r="G25" s="8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6" t="s">
        <v>57</v>
      </c>
      <c r="B26" s="7">
        <v>700000</v>
      </c>
      <c r="C26" s="7">
        <f t="shared" ref="C26:C27" si="4">B26*1.6</f>
        <v>1120000</v>
      </c>
      <c r="D26" s="8"/>
      <c r="E26" s="8"/>
      <c r="F26" s="6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6" t="s">
        <v>58</v>
      </c>
      <c r="B27" s="7">
        <v>30000</v>
      </c>
      <c r="C27" s="7">
        <f t="shared" si="4"/>
        <v>48000</v>
      </c>
      <c r="D27" s="8"/>
      <c r="E27" s="8"/>
      <c r="F27" s="6"/>
      <c r="G27" s="8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9" t="s">
        <v>59</v>
      </c>
      <c r="B28" s="20"/>
      <c r="C28" s="20">
        <v>1000000</v>
      </c>
      <c r="D28" s="21"/>
      <c r="E28" s="21"/>
      <c r="F28" s="19"/>
      <c r="G28" s="21"/>
      <c r="H28" s="2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">
      <c r="A29" s="23" t="s">
        <v>37</v>
      </c>
      <c r="B29" s="24"/>
      <c r="C29" s="25">
        <f ca="1">SUM((E2+E3+E5+C4),C6:C28)</f>
        <v>52081358.489797741</v>
      </c>
      <c r="D29" s="24">
        <f ca="1">SUM(D2:D13)</f>
        <v>3286420.8000000003</v>
      </c>
      <c r="E29" s="26"/>
      <c r="G29" s="27"/>
      <c r="H29" s="2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>
      <c r="A30" s="1"/>
      <c r="B30" s="1"/>
      <c r="C30" s="1"/>
      <c r="D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>
      <c r="A31" s="1"/>
      <c r="B31" s="1"/>
      <c r="C31" s="1"/>
      <c r="D31" s="1"/>
      <c r="E31" s="42" t="s">
        <v>60</v>
      </c>
      <c r="F31" s="43"/>
      <c r="G31" s="4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">
      <c r="A32" s="1"/>
      <c r="B32" s="1"/>
      <c r="C32" s="1"/>
      <c r="D32" s="1"/>
      <c r="E32" s="28" t="s">
        <v>2</v>
      </c>
      <c r="F32" s="29" t="s">
        <v>1</v>
      </c>
      <c r="G32" s="29" t="s">
        <v>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">
      <c r="A33" s="1"/>
      <c r="B33" s="1"/>
      <c r="C33" s="1"/>
      <c r="D33" s="1"/>
      <c r="E33" s="29" t="s">
        <v>4</v>
      </c>
      <c r="F33" s="30">
        <f ca="1">(C29-D29)</f>
        <v>48794937.689797744</v>
      </c>
      <c r="G33" s="3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>
      <c r="A34" s="1"/>
      <c r="B34" s="1"/>
      <c r="C34" s="1"/>
      <c r="D34" s="1"/>
      <c r="E34" s="29" t="s">
        <v>5</v>
      </c>
      <c r="F34" s="32">
        <f ca="1">F33/1.6</f>
        <v>30496836.056123588</v>
      </c>
      <c r="G34" s="3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>
      <c r="A35" s="1"/>
      <c r="B35" s="1"/>
      <c r="C35" s="1"/>
      <c r="D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>
      <c r="B36" s="1"/>
      <c r="C36" s="1"/>
      <c r="D36" s="1"/>
      <c r="E36" s="42" t="s">
        <v>61</v>
      </c>
      <c r="F36" s="43"/>
      <c r="G36" s="4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">
      <c r="A37" s="1"/>
      <c r="B37" s="1"/>
      <c r="C37" s="1"/>
      <c r="D37" s="1"/>
      <c r="E37" s="28" t="s">
        <v>2</v>
      </c>
      <c r="F37" s="29" t="s">
        <v>1</v>
      </c>
      <c r="G37" s="29" t="s">
        <v>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">
      <c r="A38" s="1"/>
      <c r="B38" s="1"/>
      <c r="C38" s="1"/>
      <c r="D38" s="1"/>
      <c r="E38" s="29" t="s">
        <v>4</v>
      </c>
      <c r="F38" s="33">
        <f ca="1">(F33-C16-C18-C28)</f>
        <v>28394937.689797744</v>
      </c>
      <c r="G38" s="34" t="s">
        <v>62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">
      <c r="A39" s="1"/>
      <c r="B39" s="1"/>
      <c r="C39" s="1"/>
      <c r="D39" s="1"/>
      <c r="E39" s="29" t="s">
        <v>5</v>
      </c>
      <c r="F39" s="35">
        <f ca="1">F38/1.6</f>
        <v>17746836.056123588</v>
      </c>
      <c r="G39" s="34" t="s">
        <v>63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4" t="s">
        <v>64</v>
      </c>
      <c r="C42" s="4" t="s">
        <v>1</v>
      </c>
      <c r="D42" s="4" t="s">
        <v>65</v>
      </c>
      <c r="E42" s="4" t="s">
        <v>66</v>
      </c>
      <c r="F42" s="4" t="s">
        <v>0</v>
      </c>
      <c r="G42" s="36" t="s">
        <v>6</v>
      </c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37" t="s">
        <v>67</v>
      </c>
      <c r="C43" s="37">
        <v>450000</v>
      </c>
      <c r="D43" s="37" t="s">
        <v>68</v>
      </c>
      <c r="E43" s="37">
        <v>8.5</v>
      </c>
      <c r="F43" s="37" t="s">
        <v>69</v>
      </c>
      <c r="G43" s="1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37" t="s">
        <v>38</v>
      </c>
      <c r="C44" s="37">
        <v>300000</v>
      </c>
      <c r="D44" s="37" t="s">
        <v>70</v>
      </c>
      <c r="E44" s="37">
        <v>7.5</v>
      </c>
      <c r="F44" s="37" t="s">
        <v>71</v>
      </c>
      <c r="G44" s="38" t="s">
        <v>72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39" t="s">
        <v>73</v>
      </c>
      <c r="C45" s="40">
        <v>500000</v>
      </c>
      <c r="D45" s="40" t="s">
        <v>74</v>
      </c>
      <c r="E45" s="40" t="s">
        <v>74</v>
      </c>
      <c r="F45" s="40" t="s">
        <v>75</v>
      </c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41"/>
      <c r="B46" s="40" t="s">
        <v>76</v>
      </c>
      <c r="C46" s="40">
        <v>400000</v>
      </c>
      <c r="D46" s="40" t="s">
        <v>77</v>
      </c>
      <c r="E46" s="40"/>
      <c r="F46" s="40" t="s">
        <v>78</v>
      </c>
      <c r="G46" s="1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2">
    <mergeCell ref="E31:G31"/>
    <mergeCell ref="E36:G36"/>
  </mergeCells>
  <dataValidations count="1">
    <dataValidation type="custom" allowBlank="1" showDropDown="1" sqref="B2:C28" xr:uid="{00000000-0002-0000-05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2026-01-02T11:01:52Z</dcterms:modified>
</cp:coreProperties>
</file>